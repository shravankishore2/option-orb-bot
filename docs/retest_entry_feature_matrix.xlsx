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Matrix" sheetId="1" state="visible" r:id="rId3"/>
    <sheet name="Bucket Summary" sheetId="2" state="visible" r:id="rId4"/>
    <sheet name="Retest Additions" sheetId="3" state="visible" r:id="rId5"/>
    <sheet name="Retest Adjustments" sheetId="4" state="visible" r:id="rId6"/>
    <sheet name="Risks &amp; Cautions" sheetId="5" state="visible" r:id="rId7"/>
  </sheets>
  <definedNames>
    <definedName function="false" hidden="true" localSheetId="0" name="_xlnm._FilterDatabase" vbProcedure="false">'Feature Matrix'!$A$4:$H$32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<sst xmlns="http://schemas.openxmlformats.org/spreadsheetml/2006/main" count="263" uniqueCount="199">
  <si>
    <t xml:space="preserve">Intraday feature ranking - retest-entry lens</t>
  </si>
  <si>
    <t xml:space="preserve">28 features in 4 buckets of 7, ranked by relevance to intraday decisions. Ranking is from trading logic, not from data - validate with SHAP / permutation importance before pruning.</t>
  </si>
  <si>
    <t xml:space="preserve">Rank</t>
  </si>
  <si>
    <t xml:space="preserve">Bucket</t>
  </si>
  <si>
    <t xml:space="preserve">Orig #</t>
  </si>
  <si>
    <t xml:space="preserve">Feature</t>
  </si>
  <si>
    <t xml:space="preserve">Group</t>
  </si>
  <si>
    <t xml:space="preserve">What it measures</t>
  </si>
  <si>
    <t xml:space="preserve">Why it matters (retest entry)</t>
  </si>
  <si>
    <t xml:space="preserve">False positives (looks good, trade is bad)</t>
  </si>
  <si>
    <t xml:space="preserve">1 - Core decision drivers</t>
  </si>
  <si>
    <t xml:space="preserve">breakout_strength</t>
  </si>
  <si>
    <t xml:space="preserve">Breakout setup</t>
  </si>
  <si>
    <t xml:space="preserve">Distance price extended beyond the range edge, ideally in ORB-range or ATR units</t>
  </si>
  <si>
    <t xml:space="preserve">Shows how much thrust the break had before the pullback. Strong thrust makes the retest a pause, not a failure.</t>
  </si>
  <si>
    <t xml:space="preserve">One-tick spikes or wicks on thin liquidity. Gap-opens that start beyond the range, so 'strength' is only the gap. Climax moves that exhaust and fully reverse.</t>
  </si>
  <si>
    <t xml:space="preserve">rel_vol_entry</t>
  </si>
  <si>
    <t xml:space="preserve">Volume</t>
  </si>
  <si>
    <t xml:space="preserve">Breakout-bar volume against the normal volume for that time of day</t>
  </si>
  <si>
    <t xml:space="preserve">Confirms real commitment behind the break, so the level is more likely to be defended.</t>
  </si>
  <si>
    <t xml:space="preserve">Block deals, index rebalancing, expiry-day flows, results or news. Baseline not adjusted for time of day. Absorption, where heavy volume makes no progress.</t>
  </si>
  <si>
    <t xml:space="preserve">rel_vol_or</t>
  </si>
  <si>
    <t xml:space="preserve">Opening-range volume against normal</t>
  </si>
  <si>
    <t xml:space="preserve">Shows whether the range was built on real participation, which makes the edge a meaningful level.</t>
  </si>
  <si>
    <t xml:space="preserve">Event or gap days that inflate it. Holiday or half-day baselines that deflate it. Stocks near circuit limits.</t>
  </si>
  <si>
    <t xml:space="preserve">vwap_dist</t>
  </si>
  <si>
    <t xml:space="preserve">Price structure</t>
  </si>
  <si>
    <t xml:space="preserve">Distance of price from VWAP</t>
  </si>
  <si>
    <t xml:space="preserve">A retest where VWAP and the range edge coincide is the strongest confluence. A large distance means you are chasing.</t>
  </si>
  <si>
    <t xml:space="preserve">VWAP is unstable in the first 15-30 minutes. After a gap, VWAP lags and everything looks extended. Trend days stay 'stretched' and keep going.</t>
  </si>
  <si>
    <t xml:space="preserve">atr_norm_range</t>
  </si>
  <si>
    <t xml:space="preserve">Volatility</t>
  </si>
  <si>
    <t xml:space="preserve">Opening range divided by ATR</t>
  </si>
  <si>
    <t xml:space="preserve">Makes ranges comparable across stocks. A compressed range against ATR suggests a coiled move.</t>
  </si>
  <si>
    <t xml:space="preserve">ATR inflated by earlier gap days. ATR stale after a regime change. A narrow range that is just a dead, illiquid open.</t>
  </si>
  <si>
    <t xml:space="preserve">nifty_ret</t>
  </si>
  <si>
    <t xml:space="preserve">Market context</t>
  </si>
  <si>
    <t xml:space="preserve">NIFTY's return so far today</t>
  </si>
  <si>
    <t xml:space="preserve">Index direction sets the odds that the retest holds.</t>
  </si>
  <si>
    <t xml:space="preserve">Measured from the previous close, so a gap-up index can be falling intraday and still read 'up'. Moves driven by two or three heavyweights. Early-session noise.</t>
  </si>
  <si>
    <t xml:space="preserve">aligned_with_nifty</t>
  </si>
  <si>
    <t xml:space="preserve">Whether the trade direction matches NIFTY's direction</t>
  </si>
  <si>
    <t xml:space="preserve">Trading with the index improves the odds.</t>
  </si>
  <si>
    <t xml:space="preserve">The flag flips on tiny index moves like +0.02%. High-beta stocks align mechanically. It cannot separate stock-specific strength from index drift.</t>
  </si>
  <si>
    <t xml:space="preserve">2 - Confirmation &amp; entry quality</t>
  </si>
  <si>
    <t xml:space="preserve">orb_range_pct</t>
  </si>
  <si>
    <t xml:space="preserve">Opening range as % of price</t>
  </si>
  <si>
    <t xml:space="preserve">A narrow range gives a tight stop at the retest and better reward-to-risk.</t>
  </si>
  <si>
    <t xml:space="preserve">Narrow because of low liquidity, not compression. A wide range after a gap just reflects the open's volatility. Sensitive to the ORB window length you chose.</t>
  </si>
  <si>
    <t xml:space="preserve">gap_pct</t>
  </si>
  <si>
    <t xml:space="preserve">Today's open against yesterday's close</t>
  </si>
  <si>
    <t xml:space="preserve">Gap size and direction decide whether the break continues or fades.</t>
  </si>
  <si>
    <t xml:space="preserve">Ex-dividend, split or bonus days with unadjusted prices. Stale previous close after a circuit day. Pre-open auction distortion.</t>
  </si>
  <si>
    <t xml:space="preserve">signal_minutes</t>
  </si>
  <si>
    <t xml:space="preserve">Minutes after the open that the signal fired</t>
  </si>
  <si>
    <t xml:space="preserve">Early and late retests behave differently, and the lag matters more than the clock time.</t>
  </si>
  <si>
    <t xml:space="preserve">Off-by-one-bar timestamping (bar open vs close). Lunch-lull behaviour. Expiry-day timing differences.</t>
  </si>
  <si>
    <t xml:space="preserve">entry_vs_mid</t>
  </si>
  <si>
    <t xml:space="preserve">Entry price against the range midpoint</t>
  </si>
  <si>
    <t xml:space="preserve">At a retest it should sit near the edge. It checks the entry is at the level, not mid-range.</t>
  </si>
  <si>
    <t xml:space="preserve">Near the edge by construction, so it adds little information. Unstable when the range is tiny. Wrong sign if not direction-normalised.</t>
  </si>
  <si>
    <t xml:space="preserve">rel_to_sector</t>
  </si>
  <si>
    <t xml:space="preserve">Sector</t>
  </si>
  <si>
    <t xml:space="preserve">Stock's move relative to its sector</t>
  </si>
  <si>
    <t xml:space="preserve">Separates sector leaders from laggards.</t>
  </si>
  <si>
    <t xml:space="preserve">The stock is a heavy constituent of the sector index, so the comparison is circular. Thin sector indices dominated by one or two names. Stale sector mapping.</t>
  </si>
  <si>
    <t xml:space="preserve">pos_in_day_range</t>
  </si>
  <si>
    <t xml:space="preserve">Position within the day's high-low so far</t>
  </si>
  <si>
    <t xml:space="preserve">Shows how much room remains before the day's extreme.</t>
  </si>
  <si>
    <t xml:space="preserve">Early in the day the range is tiny, so the value swings between 0 and 1. The breakout often sets the day high, so it reads near 1 by construction.</t>
  </si>
  <si>
    <t xml:space="preserve">dist_pdh</t>
  </si>
  <si>
    <t xml:space="preserve">Distance from the previous day's high</t>
  </si>
  <si>
    <t xml:space="preserve">Nearby resistance caps the target and shrinks reward-to-risk.</t>
  </si>
  <si>
    <t xml:space="preserve">PDH from a bad tick or outlier spike. Previous day was a gap or circuit day. For shorts, PDL is the relevant level, so using PDH is wrong.</t>
  </si>
  <si>
    <t xml:space="preserve">3 - Contextual modifiers</t>
  </si>
  <si>
    <t xml:space="preserve">sector_ret</t>
  </si>
  <si>
    <t xml:space="preserve">Sector's return today</t>
  </si>
  <si>
    <t xml:space="preserve">A sector tailwind helps the level hold during the pullback.</t>
  </si>
  <si>
    <t xml:space="preserve">Includes the gap from the previous close. Sector index data lag. One stock dominating the sector.</t>
  </si>
  <si>
    <t xml:space="preserve">breadth</t>
  </si>
  <si>
    <t xml:space="preserve">Share of stocks moving the same way</t>
  </si>
  <si>
    <t xml:space="preserve">Confirms the whole market is behind the move.</t>
  </si>
  <si>
    <t xml:space="preserve">Depends on the universe (Nifty 50 vs 500). Cap-weighted and equal-weighted breadth can disagree. Noisy early in the session.</t>
  </si>
  <si>
    <t xml:space="preserve">nifty_or_pos</t>
  </si>
  <si>
    <t xml:space="preserve">NIFTY's position inside its own opening range</t>
  </si>
  <si>
    <t xml:space="preserve">Shows whether the index has itself broken out.</t>
  </si>
  <si>
    <t xml:space="preserve">Saturates at 0 or 1 when the index range is very narrow. Index broke out on a few heavyweights.</t>
  </si>
  <si>
    <t xml:space="preserve">atr_pct</t>
  </si>
  <si>
    <t xml:space="preserve">ATR as % of price</t>
  </si>
  <si>
    <t xml:space="preserve">Sets stop width and position size.</t>
  </si>
  <si>
    <t xml:space="preserve">Includes gap bars. For low-priced stocks, tick size is a large share of ATR. Stale after a volatility regime shift.</t>
  </si>
  <si>
    <t xml:space="preserve">vol_trend</t>
  </si>
  <si>
    <t xml:space="preserve">Whether volume is rising or falling</t>
  </si>
  <si>
    <t xml:space="preserve">Light-volume pullbacks followed by a volume pickup at the level are healthy.</t>
  </si>
  <si>
    <t xml:space="preserve">Intraday volume is U-shaped, so 'falling volume' can be normal. Sensitive to the window. A single large print distorts it.</t>
  </si>
  <si>
    <t xml:space="preserve">range_expansion</t>
  </si>
  <si>
    <t xml:space="preserve">Whether the day's range is widening</t>
  </si>
  <si>
    <t xml:space="preserve">A trending day favours the retest holding. A choppy day favours failure.</t>
  </si>
  <si>
    <t xml:space="preserve">The gap or the breakout itself causes the expansion, which is circular. Expiry-day whipsaws widen the range without any trend.</t>
  </si>
  <si>
    <t xml:space="preserve">move_from_open</t>
  </si>
  <si>
    <t xml:space="preserve">Move since the day's open</t>
  </si>
  <si>
    <t xml:space="preserve">Shows how far the move has already run.</t>
  </si>
  <si>
    <t xml:space="preserve">The open print can be an auction outlier. Collinear with breakout_strength and vwap_dist, so it double-counts.</t>
  </si>
  <si>
    <t xml:space="preserve">4 - Low value / redundant</t>
  </si>
  <si>
    <t xml:space="preserve">direction_enc</t>
  </si>
  <si>
    <t xml:space="preserve">Buy or sell, encoded</t>
  </si>
  <si>
    <t xml:space="preserve">A conditioner. Signed features must be flipped for shorts.</t>
  </si>
  <si>
    <t xml:space="preserve">If signed features are not flipped, the model learns the long/short bias of your sample period (e.g. a bull market).</t>
  </si>
  <si>
    <t xml:space="preserve">dist_pdl</t>
  </si>
  <si>
    <t xml:space="preserve">Distance from the previous day's low</t>
  </si>
  <si>
    <t xml:space="preserve">The mirror of dist_pdh. It is the target level for shorts and the invalidation reference for longs.</t>
  </si>
  <si>
    <t xml:space="preserve">For longs, a large distance reads as 'room' but is irrelevant. Same bad-tick risk as PDH.</t>
  </si>
  <si>
    <t xml:space="preserve">prev_close_vs_orb</t>
  </si>
  <si>
    <t xml:space="preserve">Yesterday's close relative to today's opening range</t>
  </si>
  <si>
    <t xml:space="preserve">Shows whether yesterday's close acts as support or resistance at the range.</t>
  </si>
  <si>
    <t xml:space="preserve">Largely duplicates gap_pct. Breaks down when the gap is so large that the previous close lies entirely outside the range.</t>
  </si>
  <si>
    <t xml:space="preserve">level_touches</t>
  </si>
  <si>
    <t xml:space="preserve">How often price tested this level</t>
  </si>
  <si>
    <t xml:space="preserve">Most useful here, as a retest count. A first retest is stronger than a third.</t>
  </si>
  <si>
    <t xml:space="preserve">Depends on an arbitrary touch tolerance. Several touches in one cluster count as many. Many touches can mean a strong level or heavy supply, so the direction is ambiguous.</t>
  </si>
  <si>
    <t xml:space="preserve">consec_bars</t>
  </si>
  <si>
    <t xml:space="preserve">Consecutive bars in one direction</t>
  </si>
  <si>
    <t xml:space="preserve">Counter-direction bars show the pullback's character.</t>
  </si>
  <si>
    <t xml:space="preserve">Depends on bar size. Small-bodied bars count the same as strong ones. A long streak often marks exhaustion. Needs a clear sign convention at a retest.</t>
  </si>
  <si>
    <t xml:space="preserve">orb_range_abs</t>
  </si>
  <si>
    <t xml:space="preserve">Opening range in rupees</t>
  </si>
  <si>
    <t xml:space="preserve">Little meaning on its own, since orb_range_pct covers it.</t>
  </si>
  <si>
    <t xml:space="preserve">Acts as a stock-ID or price-level proxy, so the model memorises stocks. Changes with splits.</t>
  </si>
  <si>
    <t xml:space="preserve">entry_log</t>
  </si>
  <si>
    <t xml:space="preserve">Log of the entry price</t>
  </si>
  <si>
    <t xml:space="preserve">A price-level proxy with no behavioural meaning.</t>
  </si>
  <si>
    <t xml:space="preserve">Identifies the stock and the era through price drift, so it overfits and is non-stationary.</t>
  </si>
  <si>
    <t xml:space="preserve">Bucket summary</t>
  </si>
  <si>
    <t xml:space="preserve">Role</t>
  </si>
  <si>
    <t xml:space="preserve">Feature count</t>
  </si>
  <si>
    <t xml:space="preserve">Decide whether to take the trade, how big to size it, and whether to hold</t>
  </si>
  <si>
    <t xml:space="preserve">Refine the entry, stop and target</t>
  </si>
  <si>
    <t xml:space="preserve">Adjust conviction or filter at the margins</t>
  </si>
  <si>
    <t xml:space="preserve">Mostly proxies, mirrors or noise</t>
  </si>
  <si>
    <t xml:space="preserve">Total</t>
  </si>
  <si>
    <t xml:space="preserve">Prune order if cutting features: start with 8 (orb_range_abs), 9 (entry_log), 5 (prev_close_vs_orb) - the most redundant.</t>
  </si>
  <si>
    <t xml:space="preserve">Natural interaction terms: 1 x 20 (range % x range/ATR) and 3 x 17 (breakout strength x breakout volume).</t>
  </si>
  <si>
    <t xml:space="preserve">New features for retest entry</t>
  </si>
  <si>
    <t xml:space="preserve">At a retest the break is already known. The question becomes: is the broken level being defended?</t>
  </si>
  <si>
    <t xml:space="preserve">#</t>
  </si>
  <si>
    <t xml:space="preserve">Why it matters</t>
  </si>
  <si>
    <t xml:space="preserve">retest_depth_norm</t>
  </si>
  <si>
    <t xml:space="preserve">Pullback depth from the breakout extreme, divided by ORB range (or ATR)</t>
  </si>
  <si>
    <t xml:space="preserve">A shallow pullback means the market accepts the new price. A deep one means the break is failing.</t>
  </si>
  <si>
    <t xml:space="preserve">level_penetration</t>
  </si>
  <si>
    <t xml:space="preserve">How far price traded back inside the range past the edge (0 if it held)</t>
  </si>
  <si>
    <t xml:space="preserve">The cleanest failed-breakout detector. A close back inside the range usually invalidates the setup.</t>
  </si>
  <si>
    <t xml:space="preserve">retest_vol_ratio</t>
  </si>
  <si>
    <t xml:space="preserve">Pullback-bar volume divided by breakout-bar volume</t>
  </si>
  <si>
    <t xml:space="preserve">Light volume on the pullback with heavy volume on the break signals healthy profit-taking. Heavy volume on the pullback signals distribution.</t>
  </si>
  <si>
    <t xml:space="preserve">retest_rejection</t>
  </si>
  <si>
    <t xml:space="preserve">Close location and wick ratio of the retest bar at the level</t>
  </si>
  <si>
    <t xml:space="preserve">A long wick back off the edge with a close away from it shows buyers or sellers defending the level. This is your trigger quality.</t>
  </si>
  <si>
    <t xml:space="preserve">bars_to_retest</t>
  </si>
  <si>
    <t xml:space="preserve">Bars between the breakout and the retest</t>
  </si>
  <si>
    <t xml:space="preserve">A fast retest means momentum is intact. A slow drift back means the move is stale and the edge is losing relevance.</t>
  </si>
  <si>
    <t xml:space="preserve">pre_retest_excursion</t>
  </si>
  <si>
    <t xml:space="preserve">Maximum favourable move after the break, in ORB-range units, before the pullback</t>
  </si>
  <si>
    <t xml:space="preserve">Shows whether the break had real thrust. A tiny pop followed by a retest is weak.</t>
  </si>
  <si>
    <t xml:space="preserve">stop_dist_r</t>
  </si>
  <si>
    <t xml:space="preserve">Entry-to-stop distance, with the stop just beyond the retest low or the range edge, as a multiple of ATR</t>
  </si>
  <si>
    <t xml:space="preserve">The main payoff of retest entries is a tight stop. It also feeds the reward-to-risk calculation toward PDH or PDL.</t>
  </si>
  <si>
    <t xml:space="preserve">How existing features change for retest entry</t>
  </si>
  <si>
    <t xml:space="preserve">Existing feature</t>
  </si>
  <si>
    <t xml:space="preserve">Adjustment</t>
  </si>
  <si>
    <t xml:space="preserve">Redefine as pre_retest_excursion, since the breakout bar is no longer your entry.</t>
  </si>
  <si>
    <t xml:space="preserve">Should now sit near the range edge. Use it to check the retest happened at the level, not mid-range.</t>
  </si>
  <si>
    <t xml:space="preserve">Split into breakout time and retest time. The lag between them is bars_to_retest.</t>
  </si>
  <si>
    <t xml:space="preserve">Treat as retest count. A first retest is stronger than a third.</t>
  </si>
  <si>
    <t xml:space="preserve">nifty_ret, breadth</t>
  </si>
  <si>
    <t xml:space="preserve">Measure during the pullback window, not at the break, to check the index did not reverse while you waited.</t>
  </si>
  <si>
    <t xml:space="preserve">Add a flag for VWAP coinciding with the range edge. That confluence is the strongest retest setup.</t>
  </si>
  <si>
    <t xml:space="preserve">Cross-cutting false positives and build cautions</t>
  </si>
  <si>
    <t xml:space="preserve">Type</t>
  </si>
  <si>
    <t xml:space="preserve">Issue</t>
  </si>
  <si>
    <t xml:space="preserve">What to do</t>
  </si>
  <si>
    <t xml:space="preserve">False positive</t>
  </si>
  <si>
    <t xml:space="preserve">Gap contamination: Many features use the previous close, so a gap makes them all read 'strong' together (nifty_ret, sector_ret, gap_pct, move_from_open).</t>
  </si>
  <si>
    <t xml:space="preserve">Also measure them from today's open.</t>
  </si>
  <si>
    <t xml:space="preserve">Event days: Results, block deals, index rebalancing and expiry days distort the volume and range features.</t>
  </si>
  <si>
    <t xml:space="preserve">Add an event flag or exclude them from training.</t>
  </si>
  <si>
    <t xml:space="preserve">Collinearity: Features 3, 22, 23 and 8, 9, 1 move together, so SHAP importance is split between them and understated.</t>
  </si>
  <si>
    <t xml:space="preserve">Group correlated features, or evaluate importance by group.</t>
  </si>
  <si>
    <t xml:space="preserve">Time-of-day baselines: Every 'relative to normal' feature needs a baseline for that minute of the session, not a daily average.</t>
  </si>
  <si>
    <t xml:space="preserve">Build minute-of-day volume and range baselines.</t>
  </si>
  <si>
    <t xml:space="preserve">Circular definitions: Features 15, 21 and 24 are partly caused by the breakout itself.</t>
  </si>
  <si>
    <t xml:space="preserve">Compute them just before the breakout bar.</t>
  </si>
  <si>
    <t xml:space="preserve">Caution</t>
  </si>
  <si>
    <t xml:space="preserve">Lookahead: Using a retest bar's final low or close while it is still forming leaks the future into the features.</t>
  </si>
  <si>
    <t xml:space="preserve">Only label a retest as confirmed once the rejection bar has closed.</t>
  </si>
  <si>
    <t xml:space="preserve">Selection bias: Many strong breakouts never retest.</t>
  </si>
  <si>
    <t xml:space="preserve">Log non-retesting breakouts separately, to measure what waiting costs in missed trades against what it saves in stop distance.</t>
  </si>
  <si>
    <t xml:space="preserve">Retest definition: An undefined retest makes every retest feature ambiguous.</t>
  </si>
  <si>
    <t xml:space="preserve">Fix it numerically first, e.g. price returns within X% of ORB range of the edge within N bars, without closing back inside.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</si>
</sst>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48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5.05" hidden="false" customHeight="false" outlineLevel="0" collapsed="false">
      <c r="A5" s="4" t="n">
        <v>1</v>
      </c>
      <c r="B5" s="5" t="s">
        <v>10</v>
      </c>
      <c r="C5" s="4" t="n">
        <v>3</v>
      </c>
      <c r="D5" s="6" t="s">
        <v>11</v>
      </c>
      <c r="E5" s="7" t="s">
        <v>12</v>
      </c>
      <c r="F5" s="7" t="s">
        <v>13</v>
      </c>
      <c r="G5" s="7" t="s">
        <v>14</v>
      </c>
      <c r="H5" s="7" t="s">
        <v>15</v>
      </c>
    </row>
    <row r="6" customFormat="false" ht="35.05" hidden="false" customHeight="false" outlineLevel="0" collapsed="false">
      <c r="A6" s="4" t="n">
        <v>2</v>
      </c>
      <c r="B6" s="5" t="s">
        <v>10</v>
      </c>
      <c r="C6" s="4" t="n">
        <v>17</v>
      </c>
      <c r="D6" s="6" t="s">
        <v>16</v>
      </c>
      <c r="E6" s="7" t="s">
        <v>17</v>
      </c>
      <c r="F6" s="7" t="s">
        <v>18</v>
      </c>
      <c r="G6" s="7" t="s">
        <v>19</v>
      </c>
      <c r="H6" s="7" t="s">
        <v>20</v>
      </c>
    </row>
    <row r="7" customFormat="false" ht="23.85" hidden="false" customHeight="false" outlineLevel="0" collapsed="false">
      <c r="A7" s="4" t="n">
        <v>3</v>
      </c>
      <c r="B7" s="5" t="s">
        <v>10</v>
      </c>
      <c r="C7" s="4" t="n">
        <v>16</v>
      </c>
      <c r="D7" s="6" t="s">
        <v>21</v>
      </c>
      <c r="E7" s="7" t="s">
        <v>17</v>
      </c>
      <c r="F7" s="7" t="s">
        <v>22</v>
      </c>
      <c r="G7" s="7" t="s">
        <v>23</v>
      </c>
      <c r="H7" s="7" t="s">
        <v>24</v>
      </c>
    </row>
    <row r="8" customFormat="false" ht="35.05" hidden="false" customHeight="false" outlineLevel="0" collapsed="false">
      <c r="A8" s="4" t="n">
        <v>4</v>
      </c>
      <c r="B8" s="5" t="s">
        <v>10</v>
      </c>
      <c r="C8" s="4" t="n">
        <v>22</v>
      </c>
      <c r="D8" s="6" t="s">
        <v>25</v>
      </c>
      <c r="E8" s="7" t="s">
        <v>26</v>
      </c>
      <c r="F8" s="7" t="s">
        <v>27</v>
      </c>
      <c r="G8" s="7" t="s">
        <v>28</v>
      </c>
      <c r="H8" s="7" t="s">
        <v>29</v>
      </c>
    </row>
    <row r="9" customFormat="false" ht="23.85" hidden="false" customHeight="false" outlineLevel="0" collapsed="false">
      <c r="A9" s="4" t="n">
        <v>5</v>
      </c>
      <c r="B9" s="5" t="s">
        <v>10</v>
      </c>
      <c r="C9" s="4" t="n">
        <v>20</v>
      </c>
      <c r="D9" s="6" t="s">
        <v>30</v>
      </c>
      <c r="E9" s="7" t="s">
        <v>31</v>
      </c>
      <c r="F9" s="7" t="s">
        <v>32</v>
      </c>
      <c r="G9" s="7" t="s">
        <v>33</v>
      </c>
      <c r="H9" s="7" t="s">
        <v>34</v>
      </c>
    </row>
    <row r="10" customFormat="false" ht="35.05" hidden="false" customHeight="false" outlineLevel="0" collapsed="false">
      <c r="A10" s="4" t="n">
        <v>6</v>
      </c>
      <c r="B10" s="5" t="s">
        <v>10</v>
      </c>
      <c r="C10" s="4" t="n">
        <v>10</v>
      </c>
      <c r="D10" s="6" t="s">
        <v>35</v>
      </c>
      <c r="E10" s="7" t="s">
        <v>36</v>
      </c>
      <c r="F10" s="7" t="s">
        <v>37</v>
      </c>
      <c r="G10" s="7" t="s">
        <v>38</v>
      </c>
      <c r="H10" s="7" t="s">
        <v>39</v>
      </c>
    </row>
    <row r="11" customFormat="false" ht="23.85" hidden="false" customHeight="false" outlineLevel="0" collapsed="false">
      <c r="A11" s="4" t="n">
        <v>7</v>
      </c>
      <c r="B11" s="5" t="s">
        <v>10</v>
      </c>
      <c r="C11" s="4" t="n">
        <v>12</v>
      </c>
      <c r="D11" s="6" t="s">
        <v>40</v>
      </c>
      <c r="E11" s="7" t="s">
        <v>36</v>
      </c>
      <c r="F11" s="7" t="s">
        <v>41</v>
      </c>
      <c r="G11" s="7" t="s">
        <v>42</v>
      </c>
      <c r="H11" s="7" t="s">
        <v>43</v>
      </c>
    </row>
    <row r="12" customFormat="false" ht="35.05" hidden="false" customHeight="false" outlineLevel="0" collapsed="false">
      <c r="A12" s="4" t="n">
        <v>8</v>
      </c>
      <c r="B12" s="8" t="s">
        <v>44</v>
      </c>
      <c r="C12" s="4" t="n">
        <v>1</v>
      </c>
      <c r="D12" s="6" t="s">
        <v>45</v>
      </c>
      <c r="E12" s="7" t="s">
        <v>12</v>
      </c>
      <c r="F12" s="7" t="s">
        <v>46</v>
      </c>
      <c r="G12" s="7" t="s">
        <v>47</v>
      </c>
      <c r="H12" s="7" t="s">
        <v>48</v>
      </c>
    </row>
    <row r="13" customFormat="false" ht="23.85" hidden="false" customHeight="false" outlineLevel="0" collapsed="false">
      <c r="A13" s="4" t="n">
        <v>9</v>
      </c>
      <c r="B13" s="8" t="s">
        <v>44</v>
      </c>
      <c r="C13" s="4" t="n">
        <v>2</v>
      </c>
      <c r="D13" s="6" t="s">
        <v>49</v>
      </c>
      <c r="E13" s="7" t="s">
        <v>12</v>
      </c>
      <c r="F13" s="7" t="s">
        <v>50</v>
      </c>
      <c r="G13" s="7" t="s">
        <v>51</v>
      </c>
      <c r="H13" s="7" t="s">
        <v>52</v>
      </c>
    </row>
    <row r="14" customFormat="false" ht="23.85" hidden="false" customHeight="false" outlineLevel="0" collapsed="false">
      <c r="A14" s="4" t="n">
        <v>10</v>
      </c>
      <c r="B14" s="8" t="s">
        <v>44</v>
      </c>
      <c r="C14" s="4" t="n">
        <v>6</v>
      </c>
      <c r="D14" s="6" t="s">
        <v>53</v>
      </c>
      <c r="E14" s="7" t="s">
        <v>12</v>
      </c>
      <c r="F14" s="7" t="s">
        <v>54</v>
      </c>
      <c r="G14" s="7" t="s">
        <v>55</v>
      </c>
      <c r="H14" s="7" t="s">
        <v>56</v>
      </c>
    </row>
    <row r="15" customFormat="false" ht="23.85" hidden="false" customHeight="false" outlineLevel="0" collapsed="false">
      <c r="A15" s="4" t="n">
        <v>11</v>
      </c>
      <c r="B15" s="8" t="s">
        <v>44</v>
      </c>
      <c r="C15" s="4" t="n">
        <v>4</v>
      </c>
      <c r="D15" s="6" t="s">
        <v>57</v>
      </c>
      <c r="E15" s="7" t="s">
        <v>12</v>
      </c>
      <c r="F15" s="7" t="s">
        <v>58</v>
      </c>
      <c r="G15" s="7" t="s">
        <v>59</v>
      </c>
      <c r="H15" s="7" t="s">
        <v>60</v>
      </c>
    </row>
    <row r="16" customFormat="false" ht="35.05" hidden="false" customHeight="false" outlineLevel="0" collapsed="false">
      <c r="A16" s="4" t="n">
        <v>12</v>
      </c>
      <c r="B16" s="8" t="s">
        <v>44</v>
      </c>
      <c r="C16" s="4" t="n">
        <v>15</v>
      </c>
      <c r="D16" s="6" t="s">
        <v>61</v>
      </c>
      <c r="E16" s="7" t="s">
        <v>62</v>
      </c>
      <c r="F16" s="7" t="s">
        <v>63</v>
      </c>
      <c r="G16" s="7" t="s">
        <v>64</v>
      </c>
      <c r="H16" s="7" t="s">
        <v>65</v>
      </c>
    </row>
    <row r="17" customFormat="false" ht="23.85" hidden="false" customHeight="false" outlineLevel="0" collapsed="false">
      <c r="A17" s="4" t="n">
        <v>13</v>
      </c>
      <c r="B17" s="8" t="s">
        <v>44</v>
      </c>
      <c r="C17" s="4" t="n">
        <v>24</v>
      </c>
      <c r="D17" s="6" t="s">
        <v>66</v>
      </c>
      <c r="E17" s="7" t="s">
        <v>26</v>
      </c>
      <c r="F17" s="7" t="s">
        <v>67</v>
      </c>
      <c r="G17" s="7" t="s">
        <v>68</v>
      </c>
      <c r="H17" s="7" t="s">
        <v>69</v>
      </c>
    </row>
    <row r="18" customFormat="false" ht="23.85" hidden="false" customHeight="false" outlineLevel="0" collapsed="false">
      <c r="A18" s="4" t="n">
        <v>14</v>
      </c>
      <c r="B18" s="8" t="s">
        <v>44</v>
      </c>
      <c r="C18" s="4" t="n">
        <v>25</v>
      </c>
      <c r="D18" s="6" t="s">
        <v>70</v>
      </c>
      <c r="E18" s="7" t="s">
        <v>26</v>
      </c>
      <c r="F18" s="7" t="s">
        <v>71</v>
      </c>
      <c r="G18" s="7" t="s">
        <v>72</v>
      </c>
      <c r="H18" s="7" t="s">
        <v>73</v>
      </c>
    </row>
    <row r="19" customFormat="false" ht="23.85" hidden="false" customHeight="false" outlineLevel="0" collapsed="false">
      <c r="A19" s="4" t="n">
        <v>15</v>
      </c>
      <c r="B19" s="9" t="s">
        <v>74</v>
      </c>
      <c r="C19" s="4" t="n">
        <v>14</v>
      </c>
      <c r="D19" s="6" t="s">
        <v>75</v>
      </c>
      <c r="E19" s="7" t="s">
        <v>62</v>
      </c>
      <c r="F19" s="7" t="s">
        <v>76</v>
      </c>
      <c r="G19" s="7" t="s">
        <v>77</v>
      </c>
      <c r="H19" s="7" t="s">
        <v>78</v>
      </c>
    </row>
    <row r="20" customFormat="false" ht="23.85" hidden="false" customHeight="false" outlineLevel="0" collapsed="false">
      <c r="A20" s="4" t="n">
        <v>16</v>
      </c>
      <c r="B20" s="9" t="s">
        <v>74</v>
      </c>
      <c r="C20" s="4" t="n">
        <v>13</v>
      </c>
      <c r="D20" s="6" t="s">
        <v>79</v>
      </c>
      <c r="E20" s="7" t="s">
        <v>36</v>
      </c>
      <c r="F20" s="7" t="s">
        <v>80</v>
      </c>
      <c r="G20" s="7" t="s">
        <v>81</v>
      </c>
      <c r="H20" s="7" t="s">
        <v>82</v>
      </c>
    </row>
    <row r="21" customFormat="false" ht="23.85" hidden="false" customHeight="false" outlineLevel="0" collapsed="false">
      <c r="A21" s="4" t="n">
        <v>17</v>
      </c>
      <c r="B21" s="9" t="s">
        <v>74</v>
      </c>
      <c r="C21" s="4" t="n">
        <v>11</v>
      </c>
      <c r="D21" s="6" t="s">
        <v>83</v>
      </c>
      <c r="E21" s="7" t="s">
        <v>36</v>
      </c>
      <c r="F21" s="7" t="s">
        <v>84</v>
      </c>
      <c r="G21" s="7" t="s">
        <v>85</v>
      </c>
      <c r="H21" s="7" t="s">
        <v>86</v>
      </c>
    </row>
    <row r="22" customFormat="false" ht="23.85" hidden="false" customHeight="false" outlineLevel="0" collapsed="false">
      <c r="A22" s="4" t="n">
        <v>18</v>
      </c>
      <c r="B22" s="9" t="s">
        <v>74</v>
      </c>
      <c r="C22" s="4" t="n">
        <v>19</v>
      </c>
      <c r="D22" s="6" t="s">
        <v>87</v>
      </c>
      <c r="E22" s="7" t="s">
        <v>31</v>
      </c>
      <c r="F22" s="7" t="s">
        <v>88</v>
      </c>
      <c r="G22" s="7" t="s">
        <v>89</v>
      </c>
      <c r="H22" s="7" t="s">
        <v>90</v>
      </c>
    </row>
    <row r="23" customFormat="false" ht="23.85" hidden="false" customHeight="false" outlineLevel="0" collapsed="false">
      <c r="A23" s="4" t="n">
        <v>19</v>
      </c>
      <c r="B23" s="9" t="s">
        <v>74</v>
      </c>
      <c r="C23" s="4" t="n">
        <v>18</v>
      </c>
      <c r="D23" s="6" t="s">
        <v>91</v>
      </c>
      <c r="E23" s="7" t="s">
        <v>17</v>
      </c>
      <c r="F23" s="7" t="s">
        <v>92</v>
      </c>
      <c r="G23" s="7" t="s">
        <v>93</v>
      </c>
      <c r="H23" s="7" t="s">
        <v>94</v>
      </c>
    </row>
    <row r="24" customFormat="false" ht="23.85" hidden="false" customHeight="false" outlineLevel="0" collapsed="false">
      <c r="A24" s="4" t="n">
        <v>20</v>
      </c>
      <c r="B24" s="9" t="s">
        <v>74</v>
      </c>
      <c r="C24" s="4" t="n">
        <v>21</v>
      </c>
      <c r="D24" s="6" t="s">
        <v>95</v>
      </c>
      <c r="E24" s="7" t="s">
        <v>31</v>
      </c>
      <c r="F24" s="7" t="s">
        <v>96</v>
      </c>
      <c r="G24" s="7" t="s">
        <v>97</v>
      </c>
      <c r="H24" s="7" t="s">
        <v>98</v>
      </c>
    </row>
    <row r="25" customFormat="false" ht="23.85" hidden="false" customHeight="false" outlineLevel="0" collapsed="false">
      <c r="A25" s="4" t="n">
        <v>21</v>
      </c>
      <c r="B25" s="9" t="s">
        <v>74</v>
      </c>
      <c r="C25" s="4" t="n">
        <v>23</v>
      </c>
      <c r="D25" s="6" t="s">
        <v>99</v>
      </c>
      <c r="E25" s="7" t="s">
        <v>26</v>
      </c>
      <c r="F25" s="7" t="s">
        <v>100</v>
      </c>
      <c r="G25" s="7" t="s">
        <v>101</v>
      </c>
      <c r="H25" s="7" t="s">
        <v>102</v>
      </c>
    </row>
    <row r="26" customFormat="false" ht="23.85" hidden="false" customHeight="false" outlineLevel="0" collapsed="false">
      <c r="A26" s="4" t="n">
        <v>22</v>
      </c>
      <c r="B26" s="10" t="s">
        <v>103</v>
      </c>
      <c r="C26" s="4" t="n">
        <v>7</v>
      </c>
      <c r="D26" s="6" t="s">
        <v>104</v>
      </c>
      <c r="E26" s="7" t="s">
        <v>12</v>
      </c>
      <c r="F26" s="7" t="s">
        <v>105</v>
      </c>
      <c r="G26" s="7" t="s">
        <v>106</v>
      </c>
      <c r="H26" s="7" t="s">
        <v>107</v>
      </c>
    </row>
    <row r="27" customFormat="false" ht="23.85" hidden="false" customHeight="false" outlineLevel="0" collapsed="false">
      <c r="A27" s="4" t="n">
        <v>23</v>
      </c>
      <c r="B27" s="10" t="s">
        <v>103</v>
      </c>
      <c r="C27" s="4" t="n">
        <v>26</v>
      </c>
      <c r="D27" s="6" t="s">
        <v>108</v>
      </c>
      <c r="E27" s="7" t="s">
        <v>26</v>
      </c>
      <c r="F27" s="7" t="s">
        <v>109</v>
      </c>
      <c r="G27" s="7" t="s">
        <v>110</v>
      </c>
      <c r="H27" s="7" t="s">
        <v>111</v>
      </c>
    </row>
    <row r="28" customFormat="false" ht="23.85" hidden="false" customHeight="false" outlineLevel="0" collapsed="false">
      <c r="A28" s="4" t="n">
        <v>24</v>
      </c>
      <c r="B28" s="10" t="s">
        <v>103</v>
      </c>
      <c r="C28" s="4" t="n">
        <v>5</v>
      </c>
      <c r="D28" s="6" t="s">
        <v>112</v>
      </c>
      <c r="E28" s="7" t="s">
        <v>12</v>
      </c>
      <c r="F28" s="7" t="s">
        <v>113</v>
      </c>
      <c r="G28" s="7" t="s">
        <v>114</v>
      </c>
      <c r="H28" s="7" t="s">
        <v>115</v>
      </c>
    </row>
    <row r="29" customFormat="false" ht="35.05" hidden="false" customHeight="false" outlineLevel="0" collapsed="false">
      <c r="A29" s="4" t="n">
        <v>25</v>
      </c>
      <c r="B29" s="10" t="s">
        <v>103</v>
      </c>
      <c r="C29" s="4" t="n">
        <v>27</v>
      </c>
      <c r="D29" s="6" t="s">
        <v>116</v>
      </c>
      <c r="E29" s="7" t="s">
        <v>26</v>
      </c>
      <c r="F29" s="7" t="s">
        <v>117</v>
      </c>
      <c r="G29" s="7" t="s">
        <v>118</v>
      </c>
      <c r="H29" s="7" t="s">
        <v>119</v>
      </c>
    </row>
    <row r="30" customFormat="false" ht="35.05" hidden="false" customHeight="false" outlineLevel="0" collapsed="false">
      <c r="A30" s="4" t="n">
        <v>26</v>
      </c>
      <c r="B30" s="10" t="s">
        <v>103</v>
      </c>
      <c r="C30" s="4" t="n">
        <v>28</v>
      </c>
      <c r="D30" s="6" t="s">
        <v>120</v>
      </c>
      <c r="E30" s="7" t="s">
        <v>26</v>
      </c>
      <c r="F30" s="7" t="s">
        <v>121</v>
      </c>
      <c r="G30" s="7" t="s">
        <v>122</v>
      </c>
      <c r="H30" s="7" t="s">
        <v>123</v>
      </c>
    </row>
    <row r="31" customFormat="false" ht="23.85" hidden="false" customHeight="false" outlineLevel="0" collapsed="false">
      <c r="A31" s="4" t="n">
        <v>27</v>
      </c>
      <c r="B31" s="10" t="s">
        <v>103</v>
      </c>
      <c r="C31" s="4" t="n">
        <v>8</v>
      </c>
      <c r="D31" s="6" t="s">
        <v>124</v>
      </c>
      <c r="E31" s="7" t="s">
        <v>12</v>
      </c>
      <c r="F31" s="7" t="s">
        <v>125</v>
      </c>
      <c r="G31" s="7" t="s">
        <v>126</v>
      </c>
      <c r="H31" s="7" t="s">
        <v>127</v>
      </c>
    </row>
    <row r="32" customFormat="false" ht="23.85" hidden="false" customHeight="false" outlineLevel="0" collapsed="false">
      <c r="A32" s="4" t="n">
        <v>28</v>
      </c>
      <c r="B32" s="10" t="s">
        <v>103</v>
      </c>
      <c r="C32" s="4" t="n">
        <v>9</v>
      </c>
      <c r="D32" s="6" t="s">
        <v>128</v>
      </c>
      <c r="E32" s="7" t="s">
        <v>12</v>
      </c>
      <c r="F32" s="7" t="s">
        <v>129</v>
      </c>
      <c r="G32" s="7" t="s">
        <v>130</v>
      </c>
      <c r="H32" s="7" t="s">
        <v>131</v>
      </c>
    </row>
  </sheetData>
  <autoFilter ref="A4:H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132</v>
      </c>
    </row>
    <row r="3" customFormat="false" ht="15" hidden="false" customHeight="false" outlineLevel="0" collapsed="false">
      <c r="A3" s="3" t="s">
        <v>3</v>
      </c>
      <c r="B3" s="3" t="s">
        <v>133</v>
      </c>
      <c r="C3" s="3" t="s">
        <v>134</v>
      </c>
    </row>
    <row r="4" customFormat="false" ht="15" hidden="false" customHeight="false" outlineLevel="0" collapsed="false">
      <c r="A4" s="5" t="s">
        <v>10</v>
      </c>
      <c r="B4" s="7" t="s">
        <v>135</v>
      </c>
      <c r="C4" s="7" t="n">
        <f aca="false">COUNTIF('Feature Matrix'!$B$5:$B$32,A4)</f>
        <v>7</v>
      </c>
    </row>
    <row r="5" customFormat="false" ht="15" hidden="false" customHeight="false" outlineLevel="0" collapsed="false">
      <c r="A5" s="8" t="s">
        <v>44</v>
      </c>
      <c r="B5" s="7" t="s">
        <v>136</v>
      </c>
      <c r="C5" s="7" t="n">
        <f aca="false">COUNTIF('Feature Matrix'!$B$5:$B$32,A5)</f>
        <v>7</v>
      </c>
    </row>
    <row r="6" customFormat="false" ht="15" hidden="false" customHeight="false" outlineLevel="0" collapsed="false">
      <c r="A6" s="9" t="s">
        <v>74</v>
      </c>
      <c r="B6" s="7" t="s">
        <v>137</v>
      </c>
      <c r="C6" s="7" t="n">
        <f aca="false">COUNTIF('Feature Matrix'!$B$5:$B$32,A6)</f>
        <v>7</v>
      </c>
    </row>
    <row r="7" customFormat="false" ht="15" hidden="false" customHeight="false" outlineLevel="0" collapsed="false">
      <c r="A7" s="10" t="s">
        <v>103</v>
      </c>
      <c r="B7" s="7" t="s">
        <v>138</v>
      </c>
      <c r="C7" s="7" t="n">
        <f aca="false">COUNTIF('Feature Matrix'!$B$5:$B$32,A7)</f>
        <v>7</v>
      </c>
    </row>
    <row r="8" customFormat="false" ht="15" hidden="false" customHeight="false" outlineLevel="0" collapsed="false">
      <c r="A8" s="11" t="s">
        <v>139</v>
      </c>
      <c r="B8" s="12"/>
      <c r="C8" s="11" t="n">
        <f aca="false">SUM(C4:C7)</f>
        <v>28</v>
      </c>
    </row>
    <row r="10" customFormat="false" ht="15" hidden="false" customHeight="false" outlineLevel="0" collapsed="false">
      <c r="A10" s="13" t="s">
        <v>140</v>
      </c>
    </row>
    <row r="11" customFormat="false" ht="15" hidden="false" customHeight="false" outlineLevel="0" collapsed="false">
      <c r="A11" s="13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5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15" hidden="false" customHeight="false" outlineLevel="0" collapsed="false">
      <c r="A4" s="3" t="s">
        <v>144</v>
      </c>
      <c r="B4" s="3" t="s">
        <v>5</v>
      </c>
      <c r="C4" s="3" t="s">
        <v>7</v>
      </c>
      <c r="D4" s="3" t="s">
        <v>145</v>
      </c>
    </row>
    <row r="5" customFormat="false" ht="23.85" hidden="false" customHeight="false" outlineLevel="0" collapsed="false">
      <c r="A5" s="4" t="n">
        <v>1</v>
      </c>
      <c r="B5" s="6" t="s">
        <v>146</v>
      </c>
      <c r="C5" s="7" t="s">
        <v>147</v>
      </c>
      <c r="D5" s="7" t="s">
        <v>148</v>
      </c>
    </row>
    <row r="6" customFormat="false" ht="23.85" hidden="false" customHeight="false" outlineLevel="0" collapsed="false">
      <c r="A6" s="4" t="n">
        <v>2</v>
      </c>
      <c r="B6" s="6" t="s">
        <v>149</v>
      </c>
      <c r="C6" s="7" t="s">
        <v>150</v>
      </c>
      <c r="D6" s="7" t="s">
        <v>151</v>
      </c>
    </row>
    <row r="7" customFormat="false" ht="23.85" hidden="false" customHeight="false" outlineLevel="0" collapsed="false">
      <c r="A7" s="4" t="n">
        <v>3</v>
      </c>
      <c r="B7" s="6" t="s">
        <v>152</v>
      </c>
      <c r="C7" s="7" t="s">
        <v>153</v>
      </c>
      <c r="D7" s="7" t="s">
        <v>154</v>
      </c>
    </row>
    <row r="8" customFormat="false" ht="23.85" hidden="false" customHeight="false" outlineLevel="0" collapsed="false">
      <c r="A8" s="4" t="n">
        <v>4</v>
      </c>
      <c r="B8" s="6" t="s">
        <v>155</v>
      </c>
      <c r="C8" s="7" t="s">
        <v>156</v>
      </c>
      <c r="D8" s="7" t="s">
        <v>157</v>
      </c>
    </row>
    <row r="9" customFormat="false" ht="23.85" hidden="false" customHeight="false" outlineLevel="0" collapsed="false">
      <c r="A9" s="4" t="n">
        <v>5</v>
      </c>
      <c r="B9" s="6" t="s">
        <v>158</v>
      </c>
      <c r="C9" s="7" t="s">
        <v>159</v>
      </c>
      <c r="D9" s="7" t="s">
        <v>160</v>
      </c>
    </row>
    <row r="10" customFormat="false" ht="23.85" hidden="false" customHeight="false" outlineLevel="0" collapsed="false">
      <c r="A10" s="4" t="n">
        <v>6</v>
      </c>
      <c r="B10" s="6" t="s">
        <v>161</v>
      </c>
      <c r="C10" s="7" t="s">
        <v>162</v>
      </c>
      <c r="D10" s="7" t="s">
        <v>163</v>
      </c>
    </row>
    <row r="11" customFormat="false" ht="23.85" hidden="false" customHeight="false" outlineLevel="0" collapsed="false">
      <c r="A11" s="4" t="n">
        <v>7</v>
      </c>
      <c r="B11" s="6" t="s">
        <v>164</v>
      </c>
      <c r="C11" s="7" t="s">
        <v>165</v>
      </c>
      <c r="D11" s="7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167</v>
      </c>
    </row>
    <row r="3" customFormat="false" ht="15" hidden="false" customHeight="false" outlineLevel="0" collapsed="false">
      <c r="A3" s="3" t="s">
        <v>168</v>
      </c>
      <c r="B3" s="3" t="s">
        <v>169</v>
      </c>
    </row>
    <row r="4" customFormat="false" ht="15" hidden="false" customHeight="false" outlineLevel="0" collapsed="false">
      <c r="A4" s="6" t="s">
        <v>11</v>
      </c>
      <c r="B4" s="7" t="s">
        <v>170</v>
      </c>
    </row>
    <row r="5" customFormat="false" ht="15" hidden="false" customHeight="false" outlineLevel="0" collapsed="false">
      <c r="A5" s="6" t="s">
        <v>57</v>
      </c>
      <c r="B5" s="7" t="s">
        <v>171</v>
      </c>
    </row>
    <row r="6" customFormat="false" ht="15" hidden="false" customHeight="false" outlineLevel="0" collapsed="false">
      <c r="A6" s="6" t="s">
        <v>53</v>
      </c>
      <c r="B6" s="7" t="s">
        <v>172</v>
      </c>
    </row>
    <row r="7" customFormat="false" ht="15" hidden="false" customHeight="false" outlineLevel="0" collapsed="false">
      <c r="A7" s="6" t="s">
        <v>116</v>
      </c>
      <c r="B7" s="7" t="s">
        <v>173</v>
      </c>
    </row>
    <row r="8" customFormat="false" ht="15" hidden="false" customHeight="false" outlineLevel="0" collapsed="false">
      <c r="A8" s="6" t="s">
        <v>174</v>
      </c>
      <c r="B8" s="7" t="s">
        <v>175</v>
      </c>
    </row>
    <row r="9" customFormat="false" ht="15" hidden="false" customHeight="false" outlineLevel="0" collapsed="false">
      <c r="A9" s="6" t="s">
        <v>25</v>
      </c>
      <c r="B9" s="7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5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177</v>
      </c>
    </row>
    <row r="3" customFormat="false" ht="15" hidden="false" customHeight="false" outlineLevel="0" collapsed="false">
      <c r="A3" s="3" t="s">
        <v>178</v>
      </c>
      <c r="B3" s="3" t="s">
        <v>179</v>
      </c>
      <c r="C3" s="3" t="s">
        <v>180</v>
      </c>
    </row>
    <row r="4" customFormat="false" ht="23.85" hidden="false" customHeight="false" outlineLevel="0" collapsed="false">
      <c r="A4" s="7" t="s">
        <v>181</v>
      </c>
      <c r="B4" s="7" t="s">
        <v>182</v>
      </c>
      <c r="C4" s="7" t="s">
        <v>183</v>
      </c>
    </row>
    <row r="5" customFormat="false" ht="23.85" hidden="false" customHeight="false" outlineLevel="0" collapsed="false">
      <c r="A5" s="7" t="s">
        <v>181</v>
      </c>
      <c r="B5" s="7" t="s">
        <v>184</v>
      </c>
      <c r="C5" s="7" t="s">
        <v>185</v>
      </c>
    </row>
    <row r="6" customFormat="false" ht="23.85" hidden="false" customHeight="false" outlineLevel="0" collapsed="false">
      <c r="A6" s="7" t="s">
        <v>181</v>
      </c>
      <c r="B6" s="7" t="s">
        <v>186</v>
      </c>
      <c r="C6" s="7" t="s">
        <v>187</v>
      </c>
    </row>
    <row r="7" customFormat="false" ht="23.85" hidden="false" customHeight="false" outlineLevel="0" collapsed="false">
      <c r="A7" s="7" t="s">
        <v>181</v>
      </c>
      <c r="B7" s="7" t="s">
        <v>188</v>
      </c>
      <c r="C7" s="7" t="s">
        <v>189</v>
      </c>
    </row>
    <row r="8" customFormat="false" ht="15" hidden="false" customHeight="false" outlineLevel="0" collapsed="false">
      <c r="A8" s="7" t="s">
        <v>181</v>
      </c>
      <c r="B8" s="7" t="s">
        <v>190</v>
      </c>
      <c r="C8" s="7" t="s">
        <v>191</v>
      </c>
    </row>
    <row r="9" customFormat="false" ht="15" hidden="false" customHeight="false" outlineLevel="0" collapsed="false">
      <c r="A9" s="7" t="s">
        <v>192</v>
      </c>
      <c r="B9" s="7" t="s">
        <v>193</v>
      </c>
      <c r="C9" s="7" t="s">
        <v>194</v>
      </c>
    </row>
    <row r="10" customFormat="false" ht="23.85" hidden="false" customHeight="false" outlineLevel="0" collapsed="false">
      <c r="A10" s="7" t="s">
        <v>192</v>
      </c>
      <c r="B10" s="7" t="s">
        <v>195</v>
      </c>
      <c r="C10" s="7" t="s">
        <v>196</v>
      </c>
    </row>
    <row r="11" customFormat="false" ht="23.85" hidden="false" customHeight="false" outlineLevel="0" collapsed="false">
      <c r="A11" s="7" t="s">
        <v>192</v>
      </c>
      <c r="B11" s="7" t="s">
        <v>197</v>
      </c>
      <c r="C11" s="7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2026-10-06T13:46:46Z</dcterms:created>
  <dc:creator>openpyxl</dc:creator>
  <dc:description/>
  <dc:language>en-US</dc:language>
  <cp:lastModifiedBy/>
  <dcterms:modified xsi:type="dcterms:W3CDTF">2026-10-06T13:46:46Z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